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LEADS_Cost_Management" sheetId="1" state="visible" r:id="rId1"/>
    <sheet name="Reference_Example" sheetId="2" state="visible" r:id="rId2"/>
    <sheet name="Presentation_Guide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<sst xmlns="http://schemas.openxmlformats.org/spreadsheetml/2006/main" count="96" uniqueCount="96">
  <si>
    <t>ID</t>
  </si>
  <si>
    <t>Name</t>
  </si>
  <si>
    <t>Start</t>
  </si>
  <si>
    <t>End</t>
  </si>
  <si>
    <t>BAC</t>
  </si>
  <si>
    <t>PV</t>
  </si>
  <si>
    <t>EV</t>
  </si>
  <si>
    <t>AC</t>
  </si>
  <si>
    <t>SV</t>
  </si>
  <si>
    <t>SPI</t>
  </si>
  <si>
    <t>CV</t>
  </si>
  <si>
    <t>CPI</t>
  </si>
  <si>
    <t>ETC</t>
  </si>
  <si>
    <t>EAC</t>
  </si>
  <si>
    <t>VAC</t>
  </si>
  <si>
    <t>TCPI</t>
  </si>
  <si>
    <t>101</t>
  </si>
  <si>
    <t xml:space="preserve">Requirements &amp; Competitor Analysis</t>
  </si>
  <si>
    <t>4/27/26</t>
  </si>
  <si>
    <t>5/13/26</t>
  </si>
  <si>
    <t>102</t>
  </si>
  <si>
    <t xml:space="preserve">Database Schema &amp; Architecture Design</t>
  </si>
  <si>
    <t>5/14/26</t>
  </si>
  <si>
    <t>6/9/26</t>
  </si>
  <si>
    <t>103</t>
  </si>
  <si>
    <t xml:space="preserve">UI/UX Design</t>
  </si>
  <si>
    <t>6/10/26</t>
  </si>
  <si>
    <t>6/23/26</t>
  </si>
  <si>
    <t>104</t>
  </si>
  <si>
    <t xml:space="preserve">SRS &amp; SDS</t>
  </si>
  <si>
    <t>6/24/26</t>
  </si>
  <si>
    <t>8/20/26</t>
  </si>
  <si>
    <t>105</t>
  </si>
  <si>
    <t xml:space="preserve">Dev Environment Setup</t>
  </si>
  <si>
    <t>8/21/26</t>
  </si>
  <si>
    <t>8/24/26</t>
  </si>
  <si>
    <t>106</t>
  </si>
  <si>
    <t xml:space="preserve">M01: User Auth &amp; Dual OTP Engine</t>
  </si>
  <si>
    <t>8/25/26</t>
  </si>
  <si>
    <t>9/2/26</t>
  </si>
  <si>
    <t>107</t>
  </si>
  <si>
    <t xml:space="preserve">M02: Market Intelligence Engine</t>
  </si>
  <si>
    <t>9/3/26</t>
  </si>
  <si>
    <t>9/14/26</t>
  </si>
  <si>
    <t>108</t>
  </si>
  <si>
    <t xml:space="preserve">M03: Scraping Engine (Scrapy Spiders)</t>
  </si>
  <si>
    <t>9/15/26</t>
  </si>
  <si>
    <t>9/24/26</t>
  </si>
  <si>
    <t>109</t>
  </si>
  <si>
    <t xml:space="preserve">M03: Scraping Engine (Playwright)</t>
  </si>
  <si>
    <t>9/25/26</t>
  </si>
  <si>
    <t>10/6/26</t>
  </si>
  <si>
    <t>110</t>
  </si>
  <si>
    <t xml:space="preserve">M04: Seller Outreach Agent</t>
  </si>
  <si>
    <t>10/7/26</t>
  </si>
  <si>
    <t>10/15/26</t>
  </si>
  <si>
    <t>TOTAL</t>
  </si>
  <si>
    <t xml:space="preserve">Reference Example (Simple Formulas - Exact Image Match)</t>
  </si>
  <si>
    <t xml:space="preserve">Matches the screenshot using direct arithmetic formulas with no IF conditions</t>
  </si>
  <si>
    <t xml:space="preserve">Set up Database</t>
  </si>
  <si>
    <t xml:space="preserve">Mar. 1</t>
  </si>
  <si>
    <t xml:space="preserve">Mar. 10</t>
  </si>
  <si>
    <t xml:space="preserve">Build Application</t>
  </si>
  <si>
    <t xml:space="preserve">Mar. 7</t>
  </si>
  <si>
    <t xml:space="preserve">Mar. 20</t>
  </si>
  <si>
    <t>N/A</t>
  </si>
  <si>
    <t xml:space="preserve">Presentation Guide: Simple EVM Formulas for Defense Slides</t>
  </si>
  <si>
    <t>Metric</t>
  </si>
  <si>
    <t>Description</t>
  </si>
  <si>
    <t xml:space="preserve">Standard Formula</t>
  </si>
  <si>
    <t xml:space="preserve">Simple Excel Cell Formula</t>
  </si>
  <si>
    <t xml:space="preserve">How to Explain in Presentation</t>
  </si>
  <si>
    <t xml:space="preserve">Schedule Variance</t>
  </si>
  <si>
    <t xml:space="preserve">EV - PV</t>
  </si>
  <si>
    <t xml:space="preserve">Earned Value minus Planned Value. Positive means ahead, negative means delayed.</t>
  </si>
  <si>
    <t xml:space="preserve">Schedule Performance Index</t>
  </si>
  <si>
    <t xml:space="preserve">EV / PV</t>
  </si>
  <si>
    <t xml:space="preserve">Ratio of work done over scheduled. Above 1.0 is fast, below 1.0 is slow.</t>
  </si>
  <si>
    <t xml:space="preserve">Cost Variance</t>
  </si>
  <si>
    <t xml:space="preserve">EV - AC</t>
  </si>
  <si>
    <t xml:space="preserve">Earned Value minus Actual Cost. Positive means under budget, negative means overrun.</t>
  </si>
  <si>
    <t xml:space="preserve">Cost Performance Index</t>
  </si>
  <si>
    <t xml:space="preserve">EV / AC</t>
  </si>
  <si>
    <t xml:space="preserve">Cost efficiency. Above 1.0 means efficient, below 1.0 means spending too much.</t>
  </si>
  <si>
    <t xml:space="preserve">Estimate to Complete</t>
  </si>
  <si>
    <t xml:space="preserve">(BAC - EV) / CPI</t>
  </si>
  <si>
    <t xml:space="preserve">Remaining budget divided by CPI efficiency. Tells how much more money is needed.</t>
  </si>
  <si>
    <t xml:space="preserve">Estimate at Completion</t>
  </si>
  <si>
    <t xml:space="preserve">AC + ETC</t>
  </si>
  <si>
    <t xml:space="preserve">Actual Cost plus remaining ETC. Tells what the task will finally cost.</t>
  </si>
  <si>
    <t xml:space="preserve">Variance at Completion</t>
  </si>
  <si>
    <t xml:space="preserve">BAC - EAC</t>
  </si>
  <si>
    <t xml:space="preserve">Original budget minus final estimated cost. Negative means expected deficit.</t>
  </si>
  <si>
    <t xml:space="preserve">To-Complete Performance Index</t>
  </si>
  <si>
    <t xml:space="preserve">(BAC - EV) / (BAC - AC)</t>
  </si>
  <si>
    <t xml:space="preserve">Required efficiency for the rest of the project to meet original budget.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</si>
</sst>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$#,##0;($#,##0);&quot;-&quot;"/>
  </numFmts>
  <fonts count="9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1.000000"/>
      <color theme="1"/>
      <name val="Times New Roman"/>
    </font>
    <font>
      <sz val="11.000000"/>
      <color indexed="64"/>
      <name val="Times New Roman"/>
    </font>
    <font>
      <b/>
      <sz val="15.000000"/>
      <color rgb="FF111827"/>
      <name val="Calibri"/>
    </font>
    <font>
      <i/>
      <sz val="11.000000"/>
      <color rgb="FF4B5563"/>
      <name val="Calibri"/>
    </font>
    <font>
      <b/>
      <sz val="11.000000"/>
      <color indexed="64"/>
      <name val="Calibri"/>
    </font>
    <font>
      <sz val="11.000000"/>
      <color indexed="64"/>
      <name val="Calibri"/>
    </font>
    <font>
      <b/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5E7EB"/>
        <bgColor rgb="FFE5E7EB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 style="none"/>
    </border>
    <border>
      <left style="thin">
        <color rgb="FFD1D5DB"/>
      </left>
      <right style="thin">
        <color rgb="FFD1D5DB"/>
      </right>
      <top style="medium">
        <color rgb="FF9CA3AF"/>
      </top>
      <bottom style="medium">
        <color rgb="FF9CA3AF"/>
      </bottom>
      <diagonal style="none"/>
    </border>
    <border>
      <left style="thin">
        <color rgb="FFD1D5DB"/>
      </left>
      <right style="thin">
        <color rgb="FFD1D5DB"/>
      </right>
      <top style="thin">
        <color rgb="FF111827"/>
      </top>
      <bottom style="double">
        <color rgb="FF111827"/>
      </bottom>
      <diagonal style="none"/>
    </border>
  </borders>
  <cellStyleXfs count="1">
    <xf fontId="0" fillId="0" borderId="0" numFmtId="0" applyNumberFormat="1" applyFont="1" applyFill="1" applyBorder="1"/>
  </cellStyleXfs>
  <cellXfs count="27">
    <xf fontId="0" fillId="0" borderId="0" numFmtId="0" xfId="0" quotePrefix="0" pivotButton="0"/>
    <xf fontId="1" fillId="0" borderId="0" numFmtId="0" xfId="0" applyFont="1" quotePrefix="0" pivotButton="0"/>
    <xf fontId="2" fillId="0" borderId="0" numFmtId="0" xfId="0" applyFont="1" quotePrefix="0" pivotButton="0"/>
    <xf fontId="2" fillId="0" borderId="0" numFmtId="0" xfId="0" applyFont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center" vertical="center"/>
    </xf>
    <xf fontId="3" fillId="0" borderId="1" numFmtId="0" xfId="0" applyFont="1" applyBorder="1" applyAlignment="1" quotePrefix="0" pivotButton="0">
      <alignment horizontal="left" vertical="center"/>
    </xf>
    <xf fontId="3" fillId="0" borderId="1" numFmtId="164" xfId="0" applyNumberFormat="1" applyFont="1" applyBorder="1" applyAlignment="1" quotePrefix="0" pivotButton="0">
      <alignment horizontal="right" vertical="center"/>
    </xf>
    <xf fontId="3" fillId="0" borderId="1" numFmtId="2" xfId="0" applyNumberFormat="1" applyFont="1" applyBorder="1" applyAlignment="1" quotePrefix="0" pivotButton="0">
      <alignment horizontal="right" vertical="center"/>
    </xf>
    <xf fontId="3" fillId="2" borderId="1" numFmtId="0" xfId="0" applyFont="1" applyFill="1" applyBorder="1" applyAlignment="1" quotePrefix="0" pivotButton="0">
      <alignment horizontal="center" vertical="center"/>
    </xf>
    <xf fontId="3" fillId="2" borderId="1" numFmtId="0" xfId="0" applyFont="1" applyFill="1" applyBorder="1" applyAlignment="1" quotePrefix="0" pivotButton="0">
      <alignment horizontal="left" vertical="center"/>
    </xf>
    <xf fontId="3" fillId="2" borderId="1" numFmtId="164" xfId="0" applyNumberFormat="1" applyFont="1" applyFill="1" applyBorder="1" applyAlignment="1" quotePrefix="0" pivotButton="0">
      <alignment horizontal="right" vertical="center"/>
    </xf>
    <xf fontId="3" fillId="2" borderId="1" numFmtId="2" xfId="0" applyNumberFormat="1" applyFont="1" applyFill="1" applyBorder="1" applyAlignment="1" quotePrefix="0" pivotButton="0">
      <alignment horizontal="right" vertical="center"/>
    </xf>
    <xf fontId="2" fillId="0" borderId="0" numFmtId="0" xfId="0" applyFont="1" applyAlignment="1" quotePrefix="0" pivotButton="0">
      <alignment horizontal="left" vertical="center"/>
    </xf>
    <xf fontId="2" fillId="0" borderId="0" numFmtId="0" xfId="0" applyFont="1" applyAlignment="1" quotePrefix="0" pivotButton="0">
      <alignment horizontal="right" vertical="center"/>
    </xf>
    <xf fontId="4" fillId="0" borderId="0" numFmtId="0" xfId="0" applyFont="1" quotePrefix="0" pivotButton="0"/>
    <xf fontId="5" fillId="0" borderId="0" numFmtId="0" xfId="0" applyFont="1" quotePrefix="0" pivotButton="0"/>
    <xf fontId="6" fillId="3" borderId="2" numFmtId="0" xfId="0" applyFont="1" applyFill="1" applyBorder="1" applyAlignment="1" quotePrefix="0" pivotButton="0">
      <alignment horizontal="center" vertical="center"/>
    </xf>
    <xf fontId="7" fillId="0" borderId="1" numFmtId="0" xfId="0" applyFont="1" applyBorder="1" applyAlignment="1" quotePrefix="0" pivotButton="0">
      <alignment horizontal="center" vertical="center"/>
    </xf>
    <xf fontId="7" fillId="0" borderId="1" numFmtId="0" xfId="0" applyFont="1" applyBorder="1" applyAlignment="1" quotePrefix="0" pivotButton="0">
      <alignment horizontal="left" vertical="center"/>
    </xf>
    <xf fontId="7" fillId="0" borderId="1" numFmtId="164" xfId="0" applyNumberFormat="1" applyFont="1" applyBorder="1" applyAlignment="1" quotePrefix="0" pivotButton="0">
      <alignment horizontal="right" vertical="center"/>
    </xf>
    <xf fontId="7" fillId="0" borderId="1" numFmtId="2" xfId="0" applyNumberFormat="1" applyFont="1" applyBorder="1" applyAlignment="1" quotePrefix="0" pivotButton="0">
      <alignment horizontal="right" vertical="center"/>
    </xf>
    <xf fontId="6" fillId="4" borderId="3" numFmtId="0" xfId="0" applyFont="1" applyFill="1" applyBorder="1" applyAlignment="1" quotePrefix="0" pivotButton="0">
      <alignment horizontal="center" vertical="center"/>
    </xf>
    <xf fontId="6" fillId="4" borderId="3" numFmtId="0" xfId="0" applyFont="1" applyFill="1" applyBorder="1" applyAlignment="1" quotePrefix="0" pivotButton="0">
      <alignment horizontal="left" vertical="center"/>
    </xf>
    <xf fontId="6" fillId="4" borderId="3" numFmtId="164" xfId="0" applyNumberFormat="1" applyFont="1" applyFill="1" applyBorder="1" applyAlignment="1" quotePrefix="0" pivotButton="0">
      <alignment horizontal="right" vertical="center"/>
    </xf>
    <xf fontId="6" fillId="4" borderId="3" numFmtId="2" xfId="0" applyNumberFormat="1" applyFont="1" applyFill="1" applyBorder="1" applyAlignment="1" quotePrefix="0" pivotButton="0">
      <alignment horizontal="right" vertical="center"/>
    </xf>
    <xf fontId="6" fillId="3" borderId="2" numFmtId="0" xfId="0" applyFont="1" applyFill="1" applyBorder="1" applyAlignment="1" quotePrefix="0" pivotButton="0">
      <alignment horizontal="left" vertical="center"/>
    </xf>
    <xf fontId="8" fillId="0" borderId="1" numFmtId="0" xfId="0" applyFont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M3" activeCellId="0" sqref="M3"/>
    </sheetView>
  </sheetViews>
  <sheetFormatPr baseColWidth="8" defaultRowHeight="14.25"/>
  <cols>
    <col customWidth="1" min="1" max="1" style="1" width="5.00390625"/>
    <col customWidth="1" min="2" max="2" style="1" width="35.421875"/>
    <col customWidth="1" min="3" max="3" style="1" width="10.28125"/>
    <col customWidth="1" min="4" max="4" style="1" width="10.57421875"/>
    <col customWidth="1" min="5" max="5" style="1" width="8.28125"/>
    <col customWidth="1" min="6" max="6" style="1" width="8.57421875"/>
    <col customWidth="1" min="7" max="7" style="1" width="8.28125"/>
    <col customWidth="1" min="8" max="8" style="1" width="9.421875"/>
    <col customWidth="1" min="9" max="9" style="1" width="8.140625"/>
    <col customWidth="1" min="10" max="10" style="1" width="12"/>
    <col customWidth="1" min="11" max="11" style="1" width="8.140625"/>
    <col customWidth="1" min="12" max="12" style="1" width="12"/>
    <col customWidth="1" min="13" max="13" style="1" width="13.140625"/>
    <col customWidth="1" min="14" max="15" style="1" width="12"/>
    <col customWidth="1" min="16" max="16" style="1" width="12.28125"/>
    <col min="17" max="16384" style="1" width="9.140625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 t="s">
        <v>17</v>
      </c>
      <c r="C2" s="4" t="s">
        <v>18</v>
      </c>
      <c r="D2" s="4" t="s">
        <v>19</v>
      </c>
      <c r="E2" s="6">
        <v>2000</v>
      </c>
      <c r="F2" s="6">
        <v>2000</v>
      </c>
      <c r="G2" s="6">
        <v>2000</v>
      </c>
      <c r="H2" s="6">
        <v>1900</v>
      </c>
      <c r="I2" s="6">
        <f t="shared" ref="I2:I6" si="0">G2-F2</f>
        <v>0</v>
      </c>
      <c r="J2" s="7">
        <f t="shared" ref="J2:J6" si="1">G2/F2</f>
        <v>1</v>
      </c>
      <c r="K2" s="6">
        <f t="shared" ref="K2:K6" si="2">G2-H2</f>
        <v>100</v>
      </c>
      <c r="L2" s="7">
        <f t="shared" ref="L2:L6" si="3">G2/H2</f>
        <v>1.05263157894737</v>
      </c>
      <c r="M2" s="6">
        <f t="shared" ref="M2:M6" si="4">(E2-G2)/L2</f>
        <v>0</v>
      </c>
      <c r="N2" s="6">
        <f t="shared" ref="N2:N6" si="5">H2+M2</f>
        <v>1900</v>
      </c>
      <c r="O2" s="6">
        <f t="shared" ref="O2:O6" si="6">E2-N2</f>
        <v>100</v>
      </c>
      <c r="P2" s="7">
        <f t="shared" ref="P2:P6" si="7">(E2-G2)/(E2-H2)</f>
        <v>0</v>
      </c>
    </row>
    <row r="3">
      <c r="A3" s="8" t="s">
        <v>20</v>
      </c>
      <c r="B3" s="9" t="s">
        <v>21</v>
      </c>
      <c r="C3" s="8" t="s">
        <v>22</v>
      </c>
      <c r="D3" s="8" t="s">
        <v>23</v>
      </c>
      <c r="E3" s="10">
        <v>3000</v>
      </c>
      <c r="F3" s="10">
        <v>3000</v>
      </c>
      <c r="G3" s="10">
        <v>3000</v>
      </c>
      <c r="H3" s="10">
        <v>3100</v>
      </c>
      <c r="I3" s="10">
        <f t="shared" si="0"/>
        <v>0</v>
      </c>
      <c r="J3" s="11">
        <f t="shared" si="1"/>
        <v>1</v>
      </c>
      <c r="K3" s="10">
        <f t="shared" si="2"/>
        <v>-100</v>
      </c>
      <c r="L3" s="11">
        <f t="shared" si="3"/>
        <v>0.967741935483871</v>
      </c>
      <c r="M3" s="10"/>
      <c r="N3" s="10">
        <f t="shared" si="5"/>
        <v>3100</v>
      </c>
      <c r="O3" s="10">
        <f t="shared" si="6"/>
        <v>-100</v>
      </c>
      <c r="P3" s="11">
        <f t="shared" si="7"/>
        <v>0</v>
      </c>
    </row>
    <row r="4">
      <c r="A4" s="4" t="s">
        <v>24</v>
      </c>
      <c r="B4" s="5" t="s">
        <v>25</v>
      </c>
      <c r="C4" s="4" t="s">
        <v>26</v>
      </c>
      <c r="D4" s="4" t="s">
        <v>27</v>
      </c>
      <c r="E4" s="6">
        <v>2500</v>
      </c>
      <c r="F4" s="6">
        <v>2500</v>
      </c>
      <c r="G4" s="6">
        <v>2500</v>
      </c>
      <c r="H4" s="6">
        <v>2400</v>
      </c>
      <c r="I4" s="6">
        <f t="shared" si="0"/>
        <v>0</v>
      </c>
      <c r="J4" s="7">
        <f t="shared" si="1"/>
        <v>1</v>
      </c>
      <c r="K4" s="6">
        <f t="shared" si="2"/>
        <v>100</v>
      </c>
      <c r="L4" s="7">
        <f t="shared" si="3"/>
        <v>1.04166666666667</v>
      </c>
      <c r="M4" s="6">
        <f t="shared" si="4"/>
        <v>0</v>
      </c>
      <c r="N4" s="6">
        <f t="shared" si="5"/>
        <v>2400</v>
      </c>
      <c r="O4" s="6">
        <f t="shared" si="6"/>
        <v>100</v>
      </c>
      <c r="P4" s="7">
        <f t="shared" si="7"/>
        <v>0</v>
      </c>
    </row>
    <row r="5">
      <c r="A5" s="8" t="s">
        <v>28</v>
      </c>
      <c r="B5" s="9" t="s">
        <v>29</v>
      </c>
      <c r="C5" s="8" t="s">
        <v>30</v>
      </c>
      <c r="D5" s="8" t="s">
        <v>31</v>
      </c>
      <c r="E5" s="10">
        <v>4000</v>
      </c>
      <c r="F5" s="10">
        <v>4000</v>
      </c>
      <c r="G5" s="10">
        <v>4000</v>
      </c>
      <c r="H5" s="10">
        <v>3800</v>
      </c>
      <c r="I5" s="10">
        <f t="shared" si="0"/>
        <v>0</v>
      </c>
      <c r="J5" s="11">
        <f t="shared" si="1"/>
        <v>1</v>
      </c>
      <c r="K5" s="10">
        <f t="shared" si="2"/>
        <v>200</v>
      </c>
      <c r="L5" s="11">
        <f t="shared" si="3"/>
        <v>1.05263157894737</v>
      </c>
      <c r="M5" s="10">
        <f t="shared" si="4"/>
        <v>0</v>
      </c>
      <c r="N5" s="10">
        <f t="shared" si="5"/>
        <v>3800</v>
      </c>
      <c r="O5" s="10">
        <f t="shared" si="6"/>
        <v>200</v>
      </c>
      <c r="P5" s="11">
        <f t="shared" si="7"/>
        <v>0</v>
      </c>
    </row>
    <row r="6">
      <c r="A6" s="4" t="s">
        <v>32</v>
      </c>
      <c r="B6" s="5" t="s">
        <v>33</v>
      </c>
      <c r="C6" s="4" t="s">
        <v>34</v>
      </c>
      <c r="D6" s="4" t="s">
        <v>35</v>
      </c>
      <c r="E6" s="6">
        <v>1000</v>
      </c>
      <c r="F6" s="6">
        <v>1000</v>
      </c>
      <c r="G6" s="6">
        <v>1000</v>
      </c>
      <c r="H6" s="6">
        <v>950</v>
      </c>
      <c r="I6" s="6">
        <f t="shared" si="0"/>
        <v>0</v>
      </c>
      <c r="J6" s="7">
        <f t="shared" si="1"/>
        <v>1</v>
      </c>
      <c r="K6" s="6">
        <f t="shared" si="2"/>
        <v>50</v>
      </c>
      <c r="L6" s="7">
        <f t="shared" si="3"/>
        <v>1.05263157894737</v>
      </c>
      <c r="M6" s="6">
        <f t="shared" si="4"/>
        <v>0</v>
      </c>
      <c r="N6" s="6">
        <f t="shared" si="5"/>
        <v>950</v>
      </c>
      <c r="O6" s="6">
        <f t="shared" si="6"/>
        <v>50</v>
      </c>
      <c r="P6" s="7">
        <f t="shared" si="7"/>
        <v>0</v>
      </c>
    </row>
    <row r="7">
      <c r="A7" s="8" t="s">
        <v>36</v>
      </c>
      <c r="B7" s="9" t="s">
        <v>37</v>
      </c>
      <c r="C7" s="8" t="s">
        <v>38</v>
      </c>
      <c r="D7" s="8" t="s">
        <v>39</v>
      </c>
      <c r="E7" s="10">
        <v>3500</v>
      </c>
      <c r="F7" s="10">
        <v>3500</v>
      </c>
      <c r="G7" s="10">
        <v>3200</v>
      </c>
      <c r="H7" s="10">
        <v>3400</v>
      </c>
      <c r="I7" s="10">
        <f t="shared" ref="I7:I12" si="8">G7-F7</f>
        <v>-300</v>
      </c>
      <c r="J7" s="11">
        <f t="shared" ref="J7:J12" si="9">G7/F7</f>
        <v>0.914285714285714</v>
      </c>
      <c r="K7" s="10">
        <f t="shared" ref="K7:K12" si="10">G7-H7</f>
        <v>-200</v>
      </c>
      <c r="L7" s="11">
        <f t="shared" ref="L7:L12" si="11">G7/H7</f>
        <v>0.941176470588235</v>
      </c>
      <c r="M7" s="10">
        <f t="shared" ref="M7:M11" si="12">(E7-G7)/L7</f>
        <v>318.75</v>
      </c>
      <c r="N7" s="10">
        <f t="shared" ref="N7:N12" si="13">H7+M7</f>
        <v>3718.75</v>
      </c>
      <c r="O7" s="10">
        <f t="shared" ref="O7:O12" si="14">E7-N7</f>
        <v>-218.75</v>
      </c>
      <c r="P7" s="11">
        <f t="shared" ref="P7:P12" si="15">(E7-G7)/(E7-H7)</f>
        <v>3</v>
      </c>
    </row>
    <row r="8">
      <c r="A8" s="4" t="s">
        <v>40</v>
      </c>
      <c r="B8" s="5" t="s">
        <v>41</v>
      </c>
      <c r="C8" s="4" t="s">
        <v>42</v>
      </c>
      <c r="D8" s="4" t="s">
        <v>43</v>
      </c>
      <c r="E8" s="6">
        <v>4500</v>
      </c>
      <c r="F8" s="6">
        <v>4500</v>
      </c>
      <c r="G8" s="6">
        <v>4200</v>
      </c>
      <c r="H8" s="6">
        <v>4600</v>
      </c>
      <c r="I8" s="6">
        <f t="shared" si="8"/>
        <v>-300</v>
      </c>
      <c r="J8" s="7">
        <f t="shared" si="9"/>
        <v>0.933333333333333</v>
      </c>
      <c r="K8" s="6">
        <f t="shared" si="10"/>
        <v>-400</v>
      </c>
      <c r="L8" s="7">
        <f t="shared" si="11"/>
        <v>0.91304347826087</v>
      </c>
      <c r="M8" s="6">
        <f t="shared" si="12"/>
        <v>328.571428571429</v>
      </c>
      <c r="N8" s="6">
        <f t="shared" si="13"/>
        <v>4928.57142857143</v>
      </c>
      <c r="O8" s="6">
        <f t="shared" si="14"/>
        <v>-428.571428571428</v>
      </c>
      <c r="P8" s="7">
        <f t="shared" si="15"/>
        <v>-3</v>
      </c>
    </row>
    <row r="9">
      <c r="A9" s="8" t="s">
        <v>44</v>
      </c>
      <c r="B9" s="9" t="s">
        <v>45</v>
      </c>
      <c r="C9" s="8" t="s">
        <v>46</v>
      </c>
      <c r="D9" s="8" t="s">
        <v>47</v>
      </c>
      <c r="E9" s="10">
        <v>4000</v>
      </c>
      <c r="F9" s="10">
        <v>4000</v>
      </c>
      <c r="G9" s="10">
        <v>3800</v>
      </c>
      <c r="H9" s="10">
        <v>4100</v>
      </c>
      <c r="I9" s="10">
        <f t="shared" si="8"/>
        <v>-200</v>
      </c>
      <c r="J9" s="11">
        <f t="shared" si="9"/>
        <v>0.95</v>
      </c>
      <c r="K9" s="10">
        <f t="shared" si="10"/>
        <v>-300</v>
      </c>
      <c r="L9" s="11">
        <f t="shared" si="11"/>
        <v>0.926829268292683</v>
      </c>
      <c r="M9" s="10">
        <f t="shared" si="12"/>
        <v>215.789473684211</v>
      </c>
      <c r="N9" s="10">
        <f t="shared" si="13"/>
        <v>4315.78947368421</v>
      </c>
      <c r="O9" s="10">
        <f t="shared" si="14"/>
        <v>-315.789473684211</v>
      </c>
      <c r="P9" s="11">
        <f t="shared" si="15"/>
        <v>-2</v>
      </c>
    </row>
    <row r="10">
      <c r="A10" s="4" t="s">
        <v>48</v>
      </c>
      <c r="B10" s="5" t="s">
        <v>49</v>
      </c>
      <c r="C10" s="4" t="s">
        <v>50</v>
      </c>
      <c r="D10" s="4" t="s">
        <v>51</v>
      </c>
      <c r="E10" s="6">
        <v>4500</v>
      </c>
      <c r="F10" s="6">
        <v>3500</v>
      </c>
      <c r="G10" s="6">
        <v>3200</v>
      </c>
      <c r="H10" s="6">
        <v>3600</v>
      </c>
      <c r="I10" s="6">
        <f t="shared" si="8"/>
        <v>-300</v>
      </c>
      <c r="J10" s="7">
        <f t="shared" si="9"/>
        <v>0.914285714285714</v>
      </c>
      <c r="K10" s="6">
        <f t="shared" si="10"/>
        <v>-400</v>
      </c>
      <c r="L10" s="7">
        <f t="shared" si="11"/>
        <v>0.888888888888889</v>
      </c>
      <c r="M10" s="6">
        <f t="shared" si="12"/>
        <v>1462.5</v>
      </c>
      <c r="N10" s="6">
        <f t="shared" si="13"/>
        <v>5062.5</v>
      </c>
      <c r="O10" s="6">
        <f t="shared" si="14"/>
        <v>-562.5</v>
      </c>
      <c r="P10" s="7">
        <f t="shared" si="15"/>
        <v>1.44444444444444</v>
      </c>
    </row>
    <row r="11">
      <c r="A11" s="8" t="s">
        <v>52</v>
      </c>
      <c r="B11" s="9" t="s">
        <v>53</v>
      </c>
      <c r="C11" s="8" t="s">
        <v>54</v>
      </c>
      <c r="D11" s="8" t="s">
        <v>55</v>
      </c>
      <c r="E11" s="10">
        <v>3500</v>
      </c>
      <c r="F11" s="10">
        <v>2500</v>
      </c>
      <c r="G11" s="10">
        <v>2200</v>
      </c>
      <c r="H11" s="10">
        <v>2600</v>
      </c>
      <c r="I11" s="10">
        <f t="shared" si="8"/>
        <v>-300</v>
      </c>
      <c r="J11" s="11">
        <f t="shared" si="9"/>
        <v>0.88</v>
      </c>
      <c r="K11" s="10">
        <f t="shared" si="10"/>
        <v>-400</v>
      </c>
      <c r="L11" s="11">
        <f t="shared" si="11"/>
        <v>0.846153846153846</v>
      </c>
      <c r="M11" s="10">
        <f t="shared" si="12"/>
        <v>1536.36363636364</v>
      </c>
      <c r="N11" s="10">
        <f t="shared" si="13"/>
        <v>4136.36363636364</v>
      </c>
      <c r="O11" s="10">
        <f t="shared" si="14"/>
        <v>-636.363636363636</v>
      </c>
      <c r="P11" s="11">
        <f t="shared" si="15"/>
        <v>1.44444444444444</v>
      </c>
    </row>
    <row r="12" s="2" customFormat="1">
      <c r="A12" s="3"/>
      <c r="B12" s="12" t="s">
        <v>56</v>
      </c>
      <c r="C12" s="3"/>
      <c r="D12" s="3"/>
      <c r="E12" s="13">
        <f>SUM(E2:E11)</f>
        <v>32500</v>
      </c>
      <c r="F12" s="13">
        <f>SUM(F2:F11)</f>
        <v>30500</v>
      </c>
      <c r="G12" s="13">
        <f>SUM(G2:G11)</f>
        <v>29100</v>
      </c>
      <c r="H12" s="13">
        <f>SUM(H2:H11)</f>
        <v>30450</v>
      </c>
      <c r="I12" s="13">
        <f t="shared" si="8"/>
        <v>-1400</v>
      </c>
      <c r="J12" s="13">
        <f t="shared" si="9"/>
        <v>0.954098360655738</v>
      </c>
      <c r="K12" s="13">
        <f t="shared" si="10"/>
        <v>-1350</v>
      </c>
      <c r="L12" s="13">
        <f t="shared" si="11"/>
        <v>0.955665024630542</v>
      </c>
      <c r="M12" s="13">
        <f>SUM(M2:M11)</f>
        <v>3861.97453861928</v>
      </c>
      <c r="N12" s="13">
        <f t="shared" si="13"/>
        <v>34311.9745386193</v>
      </c>
      <c r="O12" s="13">
        <f t="shared" si="14"/>
        <v>-1811.97453861927</v>
      </c>
      <c r="P12" s="13">
        <f t="shared" si="15"/>
        <v>1.65853658536585</v>
      </c>
    </row>
    <row r="13" ht="14.25">
      <c r="E13"/>
      <c r="F13"/>
      <c r="G13"/>
      <c r="H13"/>
      <c r="I13"/>
      <c r="J13"/>
      <c r="K13"/>
      <c r="L13"/>
      <c r="M13"/>
      <c r="N13"/>
      <c r="O13"/>
      <c r="P13"/>
    </row>
    <row r="14" ht="14.25">
      <c r="E14"/>
      <c r="F14"/>
      <c r="G14"/>
      <c r="H14"/>
      <c r="I14"/>
      <c r="J14"/>
      <c r="K14"/>
      <c r="L14"/>
      <c r="M14"/>
      <c r="N14"/>
      <c r="O14"/>
      <c r="P14"/>
    </row>
    <row r="15" ht="14.25">
      <c r="B15"/>
      <c r="E15"/>
      <c r="F15"/>
      <c r="G15"/>
      <c r="H15"/>
      <c r="I15"/>
      <c r="J15"/>
      <c r="K15"/>
      <c r="L15"/>
      <c r="M15"/>
      <c r="N15"/>
      <c r="O15"/>
      <c r="P1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2" width="21"/>
    <col customWidth="1" min="3" max="4" width="12"/>
    <col customWidth="1" min="5" max="9" width="15"/>
    <col customWidth="1" min="10" max="10" width="12"/>
    <col customWidth="1" min="11" max="11" width="15"/>
    <col customWidth="1" min="12" max="12" width="12"/>
    <col customWidth="1" min="13" max="15" width="15"/>
    <col customWidth="1" min="16" max="16" width="20"/>
  </cols>
  <sheetData>
    <row r="1">
      <c r="A1" s="14" t="s">
        <v>57</v>
      </c>
    </row>
    <row r="2">
      <c r="A2" s="15" t="s">
        <v>58</v>
      </c>
    </row>
    <row r="4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</row>
    <row r="5">
      <c r="A5" s="17">
        <v>100</v>
      </c>
      <c r="B5" s="18" t="s">
        <v>59</v>
      </c>
      <c r="C5" s="17" t="s">
        <v>60</v>
      </c>
      <c r="D5" s="17" t="s">
        <v>61</v>
      </c>
      <c r="E5" s="19">
        <v>10000</v>
      </c>
      <c r="F5" s="19">
        <v>3000</v>
      </c>
      <c r="G5" s="19">
        <v>2000</v>
      </c>
      <c r="H5" s="19">
        <v>4500</v>
      </c>
      <c r="I5" s="19">
        <f t="shared" ref="I5:I6" si="16">G5-F5</f>
        <v>-1000</v>
      </c>
      <c r="J5" s="20">
        <f>G5/F5</f>
        <v>0.666666666666667</v>
      </c>
      <c r="K5" s="19">
        <f t="shared" ref="K5:K6" si="17">G5-H5</f>
        <v>-2500</v>
      </c>
      <c r="L5" s="20">
        <f t="shared" ref="L5:L7" si="18">G5/H5</f>
        <v>0.444444444444444</v>
      </c>
      <c r="M5" s="19">
        <f t="shared" ref="M5:M6" si="19">(E5-G5)/L5</f>
        <v>18000</v>
      </c>
      <c r="N5" s="19">
        <f t="shared" ref="N5:N6" si="20">H5+(E5-G5)</f>
        <v>12500</v>
      </c>
      <c r="O5" s="19">
        <f t="shared" ref="O5:O6" si="21">E5-N5</f>
        <v>-2500</v>
      </c>
      <c r="P5" s="20">
        <f t="shared" ref="P5:P7" si="22">(E5-G5)/(E5-H5)</f>
        <v>1.45454545454545</v>
      </c>
    </row>
    <row r="6">
      <c r="A6" s="17">
        <v>200</v>
      </c>
      <c r="B6" s="18" t="s">
        <v>62</v>
      </c>
      <c r="C6" s="17" t="s">
        <v>63</v>
      </c>
      <c r="D6" s="17" t="s">
        <v>64</v>
      </c>
      <c r="E6" s="19">
        <v>15000</v>
      </c>
      <c r="F6" s="19">
        <v>0</v>
      </c>
      <c r="G6" s="19">
        <v>1500</v>
      </c>
      <c r="H6" s="19">
        <v>2000</v>
      </c>
      <c r="I6" s="19">
        <f t="shared" si="16"/>
        <v>1500</v>
      </c>
      <c r="J6" s="20" t="s">
        <v>65</v>
      </c>
      <c r="K6" s="19">
        <f t="shared" si="17"/>
        <v>-500</v>
      </c>
      <c r="L6" s="20">
        <f t="shared" si="18"/>
        <v>0.75</v>
      </c>
      <c r="M6" s="19">
        <f t="shared" si="19"/>
        <v>18000</v>
      </c>
      <c r="N6" s="19">
        <f t="shared" si="20"/>
        <v>15500</v>
      </c>
      <c r="O6" s="19">
        <f t="shared" si="21"/>
        <v>-500</v>
      </c>
      <c r="P6" s="20">
        <f t="shared" si="22"/>
        <v>1.03846153846154</v>
      </c>
    </row>
    <row r="7">
      <c r="A7" s="21"/>
      <c r="B7" s="22" t="s">
        <v>56</v>
      </c>
      <c r="C7" s="21"/>
      <c r="D7" s="21"/>
      <c r="E7" s="23">
        <f>SUM(E5:E6)</f>
        <v>25000</v>
      </c>
      <c r="F7" s="23">
        <f>SUM(F5:F6)</f>
        <v>3000</v>
      </c>
      <c r="G7" s="23">
        <f>SUM(G5:G6)</f>
        <v>3500</v>
      </c>
      <c r="H7" s="23">
        <f>SUM(H5:H6)</f>
        <v>6500</v>
      </c>
      <c r="I7" s="23">
        <f>SUM(I5:I6)</f>
        <v>500</v>
      </c>
      <c r="J7" s="24">
        <f>J5</f>
        <v>0.666666666666667</v>
      </c>
      <c r="K7" s="23">
        <f>SUM(K5:K6)</f>
        <v>-3000</v>
      </c>
      <c r="L7" s="24">
        <f t="shared" si="18"/>
        <v>0.538461538461538</v>
      </c>
      <c r="M7" s="23">
        <f>SUM(M5:M6)</f>
        <v>36000</v>
      </c>
      <c r="N7" s="23">
        <f>SUM(N5:N6)</f>
        <v>28000</v>
      </c>
      <c r="O7" s="23">
        <f>SUM(O5:O6)</f>
        <v>-3000</v>
      </c>
      <c r="P7" s="24">
        <f t="shared" si="22"/>
        <v>1.16216216216216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zoomScale="100" workbookViewId="0">
      <selection activeCell="A1" activeCellId="0" sqref="A1"/>
    </sheetView>
  </sheetViews>
  <sheetFormatPr baseColWidth="8" defaultRowHeight="15"/>
  <cols>
    <col customWidth="1" min="1" max="1" width="12"/>
    <col customWidth="1" min="2" max="2" width="33"/>
    <col customWidth="1" min="3" max="3" width="27"/>
    <col customWidth="1" min="4" max="4" width="29"/>
    <col customWidth="1" min="5" max="5" width="88"/>
  </cols>
  <sheetData>
    <row r="1">
      <c r="A1" s="14" t="s">
        <v>66</v>
      </c>
    </row>
    <row r="3">
      <c r="A3" s="25" t="s">
        <v>67</v>
      </c>
      <c r="B3" s="25" t="s">
        <v>68</v>
      </c>
      <c r="C3" s="25" t="s">
        <v>69</v>
      </c>
      <c r="D3" s="25" t="s">
        <v>70</v>
      </c>
      <c r="E3" s="25" t="s">
        <v>71</v>
      </c>
    </row>
    <row r="4">
      <c r="A4" s="26" t="s">
        <v>8</v>
      </c>
      <c r="B4" s="18" t="s">
        <v>72</v>
      </c>
      <c r="C4" s="18" t="s">
        <v>73</v>
      </c>
      <c r="D4" s="18">
        <f>G5-F5</f>
        <v>0</v>
      </c>
      <c r="E4" s="18" t="s">
        <v>74</v>
      </c>
    </row>
    <row r="5">
      <c r="A5" s="26" t="s">
        <v>9</v>
      </c>
      <c r="B5" s="18" t="s">
        <v>75</v>
      </c>
      <c r="C5" s="18" t="s">
        <v>76</v>
      </c>
      <c r="D5" s="18" t="e">
        <f>G5/F5</f>
        <v>#DIV/0!</v>
      </c>
      <c r="E5" s="18" t="s">
        <v>77</v>
      </c>
    </row>
    <row r="6">
      <c r="A6" s="26" t="s">
        <v>10</v>
      </c>
      <c r="B6" s="18" t="s">
        <v>78</v>
      </c>
      <c r="C6" s="18" t="s">
        <v>79</v>
      </c>
      <c r="D6" s="18">
        <f>G5-H5</f>
        <v>0</v>
      </c>
      <c r="E6" s="18" t="s">
        <v>80</v>
      </c>
    </row>
    <row r="7">
      <c r="A7" s="26" t="s">
        <v>11</v>
      </c>
      <c r="B7" s="18" t="s">
        <v>81</v>
      </c>
      <c r="C7" s="18" t="s">
        <v>82</v>
      </c>
      <c r="D7" s="18" t="e">
        <f>G5/H5</f>
        <v>#DIV/0!</v>
      </c>
      <c r="E7" s="18" t="s">
        <v>83</v>
      </c>
    </row>
    <row r="8">
      <c r="A8" s="26" t="s">
        <v>12</v>
      </c>
      <c r="B8" s="18" t="s">
        <v>84</v>
      </c>
      <c r="C8" s="18" t="s">
        <v>85</v>
      </c>
      <c r="D8" s="18" t="e">
        <f>(E5-G5)/L5</f>
        <v>#VALUE!</v>
      </c>
      <c r="E8" s="18" t="s">
        <v>86</v>
      </c>
    </row>
    <row r="9">
      <c r="A9" s="26" t="s">
        <v>13</v>
      </c>
      <c r="B9" s="18" t="s">
        <v>87</v>
      </c>
      <c r="C9" s="18" t="s">
        <v>88</v>
      </c>
      <c r="D9" s="18">
        <f>H5+M5</f>
        <v>0</v>
      </c>
      <c r="E9" s="18" t="s">
        <v>89</v>
      </c>
    </row>
    <row r="10">
      <c r="A10" s="26" t="s">
        <v>14</v>
      </c>
      <c r="B10" s="18" t="s">
        <v>90</v>
      </c>
      <c r="C10" s="18" t="s">
        <v>91</v>
      </c>
      <c r="D10" s="18" t="e">
        <f>E5-N5</f>
        <v>#VALUE!</v>
      </c>
      <c r="E10" s="18" t="s">
        <v>92</v>
      </c>
    </row>
    <row r="11">
      <c r="A11" s="26" t="s">
        <v>15</v>
      </c>
      <c r="B11" s="18" t="s">
        <v>93</v>
      </c>
      <c r="C11" s="18" t="s">
        <v>94</v>
      </c>
      <c r="D11" s="18" t="e">
        <f>(E5-G5)/(E5-H5)</f>
        <v>#VALUE!</v>
      </c>
      <c r="E11" s="18" t="s">
        <v>95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2026-10-20T08:03:55Z</dcterms:created>
  <dcterms:modified xsi:type="dcterms:W3CDTF">2026-10-20T09:14:47Z</dcterms:modified>
</cp:coreProperties>
</file>